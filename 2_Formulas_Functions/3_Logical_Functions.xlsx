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du\OneDrive\Desktop\Data Analyst\Excel\Excel_Data_Analytics_Course-main\2_Formulas_Functions\"/>
    </mc:Choice>
  </mc:AlternateContent>
  <xr:revisionPtr revIDLastSave="0" documentId="13_ncr:1_{7419805E-3463-4DCC-8FE2-E04BA7579275}" xr6:coauthVersionLast="47" xr6:coauthVersionMax="47" xr10:uidLastSave="{00000000-0000-0000-0000-000000000000}"/>
  <bookViews>
    <workbookView xWindow="-28920" yWindow="-2970" windowWidth="29040" windowHeight="15720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0" l="1" a="1"/>
  <c r="R4" i="10" a="1"/>
  <c r="R5" i="10" a="1"/>
  <c r="R6" i="10" a="1"/>
  <c r="R7" i="10" a="1"/>
  <c r="R8" i="10" a="1"/>
  <c r="R9" i="10" a="1"/>
  <c r="R10" i="10" a="1"/>
  <c r="R11" i="10" a="1"/>
  <c r="R12" i="10" a="1"/>
  <c r="R13" i="10" a="1"/>
  <c r="R14" i="10" a="1"/>
  <c r="R15" i="10" a="1"/>
  <c r="R16" i="10" a="1"/>
  <c r="R17" i="10" a="1"/>
  <c r="R18" i="10" a="1"/>
  <c r="R19" i="10" a="1"/>
  <c r="R20" i="10" a="1"/>
  <c r="R21" i="10" a="1"/>
  <c r="R2" i="10" a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3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3" i="10"/>
  <c r="M4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4" i="11" a="1"/>
  <c r="R5" i="11" a="1"/>
  <c r="R6" i="11" a="1"/>
  <c r="R7" i="11" a="1"/>
  <c r="R8" i="11" a="1"/>
  <c r="R9" i="11" a="1"/>
  <c r="R10" i="11" a="1"/>
  <c r="R11" i="11" a="1"/>
  <c r="R12" i="11" a="1"/>
  <c r="R13" i="11" a="1"/>
  <c r="R14" i="11" a="1"/>
  <c r="R15" i="11" a="1"/>
  <c r="R16" i="11" a="1"/>
  <c r="R17" i="11" a="1"/>
  <c r="R18" i="11" a="1"/>
  <c r="R19" i="11" a="1"/>
  <c r="R20" i="11" a="1"/>
  <c r="R21" i="11" a="1"/>
  <c r="R2" i="11" a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<sst xmlns="http://schemas.openxmlformats.org/spreadsheetml/2006/main" count="395" uniqueCount="144">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</sst>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S9" sqref="S9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8.21875" style="1" bestFit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customWidth="1"/>
    <col min="13" max="13" width="9.109375" style="1" customWidth="1"/>
    <col min="14" max="14" width="10.44140625" style="1" hidden="1" customWidth="1"/>
    <col min="15" max="15" width="14.109375" style="1" hidden="1" customWidth="1"/>
    <col min="16" max="16" width="9.6640625" style="1" customWidth="1"/>
    <col min="17" max="17" width="9.77734375" style="1" customWidth="1"/>
    <col min="18" max="18" width="14.109375" style="1" bestFit="1" customWidth="1"/>
    <col min="19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hidden="1" customWidth="1"/>
    <col min="13" max="13" width="9.109375" style="1" hidden="1" customWidth="1"/>
    <col min="14" max="14" width="10.44140625" style="1" hidden="1" customWidth="1"/>
    <col min="15" max="15" width="14.109375" style="1" hidden="1" customWidth="1"/>
    <col min="16" max="16" width="9.6640625" style="1" hidden="1" customWidth="1"/>
    <col min="17" max="17" width="9.6640625" style="1" customWidth="1"/>
    <col min="18" max="18" width="9.109375" style="1"/>
    <col min="19" max="19" width="14.109375" style="1" bestFit="1" customWidth="1"/>
    <col min="20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zoomScaleNormal="100" workbookViewId="0">
      <selection activeCell="Z21" sqref="Z21"/>
    </sheetView>
  </sheetViews>
  <sheetFormatPr defaultRowHeight="14.4" x14ac:dyDescent="0.3"/>
  <cols>
    <col min="1" max="1" width="18.88671875" bestFit="1" customWidth="1"/>
    <col min="2" max="2" width="18" hidden="1" customWidth="1"/>
    <col min="3" max="3" width="24.88671875" hidden="1" customWidth="1"/>
    <col min="4" max="4" width="12.109375" hidden="1" customWidth="1"/>
    <col min="5" max="5" width="42.77734375" hidden="1" customWidth="1"/>
    <col min="6" max="6" width="16.5546875" hidden="1" customWidth="1"/>
    <col min="7" max="7" width="21.109375" hidden="1" customWidth="1"/>
    <col min="8" max="8" width="14.6640625" bestFit="1" customWidth="1"/>
    <col min="9" max="9" width="20.44140625" hidden="1" customWidth="1"/>
    <col min="10" max="10" width="77.33203125" hidden="1" customWidth="1"/>
    <col min="11" max="11" width="11.6640625" hidden="1" customWidth="1"/>
    <col min="12" max="12" width="15.44140625" hidden="1" customWidth="1"/>
    <col min="13" max="13" width="11.6640625" hidden="1" customWidth="1"/>
    <col min="14" max="14" width="8" hidden="1" customWidth="1"/>
    <col min="15" max="15" width="9.33203125" hidden="1" customWidth="1"/>
    <col min="16" max="16" width="12.88671875" bestFit="1" customWidth="1"/>
    <col min="17" max="17" width="13.5546875" customWidth="1"/>
    <col min="18" max="18" width="17" customWidth="1"/>
  </cols>
  <sheetData>
    <row r="1" spans="1:18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IF($A2=K$1,"Role Desired","Not Desired")</f>
        <v>Not Desired</v>
      </c>
      <c r="L2" t="str">
        <f>IF($A2=L$1,"Role Desired","Not Desired")</f>
        <v>Not Desired</v>
      </c>
      <c r="M2" t="str">
        <f>IF($A2=K$1,"Role Desired",IF($A2=L$1,"Role Desired","Not Desired"))</f>
        <v>Not Desired</v>
      </c>
      <c r="N2" t="b">
        <f>AND(A2=$K$1,A2=$L$1)</f>
        <v>0</v>
      </c>
      <c r="O2" t="b">
        <f>OR(A2=$K$1,A2=$L$1)</f>
        <v>0</v>
      </c>
      <c r="P2" t="str">
        <f>IF(OR(A2=$K$1,A2=$L$1),"Role Required","Not Required")</f>
        <v>Not Required</v>
      </c>
      <c r="Q2" t="str">
        <f>IF($H2&gt;$Q$1,"Salary&gt;85K","Salary Low")</f>
        <v>Salary&gt;85K</v>
      </c>
      <c r="R2" t="str" cm="1">
        <f t="array" ref="R2">_xlfn.IFS($H2="","No Data",$H2&gt;=$Q$1,"Salary&gt;$85K",$H2&lt;$Q$1,"Salary Low")</f>
        <v>Salary&gt;$85K</v>
      </c>
    </row>
    <row r="3" spans="1:18" x14ac:dyDescent="0.3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L21" si="0">IF($A3=K$1,"Role Desired","Not Desired")</f>
        <v>Role Desired</v>
      </c>
      <c r="L3" t="str">
        <f t="shared" si="0"/>
        <v>Not Desired</v>
      </c>
      <c r="M3" t="str">
        <f t="shared" ref="M3:M21" si="1">IF($A3=K$1,"Role Desired",IF($A3=L$1,"Role Desired","Not Desired"))</f>
        <v>Role Desired</v>
      </c>
      <c r="N3" t="b">
        <f t="shared" ref="N3:N21" si="2">AND(A3=$K$1,A3=$L$1)</f>
        <v>0</v>
      </c>
      <c r="O3" t="b">
        <f>OR(A3=$K$1,A3=$L$1)</f>
        <v>1</v>
      </c>
      <c r="P3" t="str">
        <f t="shared" ref="P3:P21" si="3">IF(OR(A3=$K$1,A3=$L$1),"Role Required","Not Required")</f>
        <v>Role Required</v>
      </c>
      <c r="Q3" t="str">
        <f t="shared" ref="Q3:Q21" si="4">IF($H3&gt;$Q$1,"Salary&gt;85K","Salary Low")</f>
        <v>Salary Low</v>
      </c>
      <c r="R3" t="str" cm="1">
        <f t="array" ref="R3">_xlfn.IFS($H3="","No Data",$H3&gt;=$Q$1,"Salary&gt;$85K",$H3&lt;$Q$1,"Salary Low")</f>
        <v>Salary Low</v>
      </c>
    </row>
    <row r="4" spans="1:18" x14ac:dyDescent="0.3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0"/>
        <v>Not Desired</v>
      </c>
      <c r="M4" t="str">
        <f t="shared" si="1"/>
        <v>Role Desired</v>
      </c>
      <c r="N4" t="b">
        <f t="shared" si="2"/>
        <v>0</v>
      </c>
      <c r="O4" t="b">
        <f t="shared" ref="O4:O21" si="5">OR(A4=$K$1,A4=$L$1)</f>
        <v>1</v>
      </c>
      <c r="P4" t="str">
        <f t="shared" si="3"/>
        <v>Role Required</v>
      </c>
      <c r="Q4" t="str">
        <f t="shared" si="4"/>
        <v>Salary Low</v>
      </c>
      <c r="R4" t="str" cm="1">
        <f t="array" ref="R4">_xlfn.IFS($H4="","No Data",$H4&gt;=$Q$1,"Salary&gt;$85K",$H4&lt;$Q$1,"Salary Low")</f>
        <v>No Data</v>
      </c>
    </row>
    <row r="5" spans="1:18" x14ac:dyDescent="0.3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5"/>
        <v>0</v>
      </c>
      <c r="P5" t="str">
        <f t="shared" si="3"/>
        <v>Not Required</v>
      </c>
      <c r="Q5" t="str">
        <f t="shared" si="4"/>
        <v>Salary Low</v>
      </c>
      <c r="R5" t="str" cm="1">
        <f t="array" ref="R5">_xlfn.IFS($H5="","No Data",$H5&gt;=$Q$1,"Salary&gt;$85K",$H5&lt;$Q$1,"Salary Low")</f>
        <v>No Data</v>
      </c>
    </row>
    <row r="6" spans="1:18" x14ac:dyDescent="0.3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5"/>
        <v>0</v>
      </c>
      <c r="P6" t="str">
        <f t="shared" si="3"/>
        <v>Not Required</v>
      </c>
      <c r="Q6" t="str">
        <f t="shared" si="4"/>
        <v>Salary Low</v>
      </c>
      <c r="R6" t="str" cm="1">
        <f t="array" ref="R6">_xlfn.IFS($H6="","No Data",$H6&gt;=$Q$1,"Salary&gt;$85K",$H6&lt;$Q$1,"Salary Low")</f>
        <v>No Data</v>
      </c>
    </row>
    <row r="7" spans="1:18" x14ac:dyDescent="0.3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5"/>
        <v>0</v>
      </c>
      <c r="P7" t="str">
        <f t="shared" si="3"/>
        <v>Not Required</v>
      </c>
      <c r="Q7" t="str">
        <f t="shared" si="4"/>
        <v>Salary Low</v>
      </c>
      <c r="R7" t="str" cm="1">
        <f t="array" ref="R7">_xlfn.IFS($H7="","No Data",$H7&gt;=$Q$1,"Salary&gt;$85K",$H7&lt;$Q$1,"Salary Low")</f>
        <v>No Data</v>
      </c>
    </row>
    <row r="8" spans="1:18" x14ac:dyDescent="0.3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0"/>
        <v>Not Desired</v>
      </c>
      <c r="M8" t="str">
        <f t="shared" si="1"/>
        <v>Role Desired</v>
      </c>
      <c r="N8" t="b">
        <f t="shared" si="2"/>
        <v>0</v>
      </c>
      <c r="O8" t="b">
        <f t="shared" si="5"/>
        <v>1</v>
      </c>
      <c r="P8" t="str">
        <f t="shared" si="3"/>
        <v>Role Required</v>
      </c>
      <c r="Q8" t="str">
        <f t="shared" si="4"/>
        <v>Salary Low</v>
      </c>
      <c r="R8" t="str" cm="1">
        <f t="array" ref="R8">_xlfn.IFS($H8="","No Data",$H8&gt;=$Q$1,"Salary&gt;$85K",$H8&lt;$Q$1,"Salary Low")</f>
        <v>No Data</v>
      </c>
    </row>
    <row r="9" spans="1:18" x14ac:dyDescent="0.3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0"/>
        <v>Not Desired</v>
      </c>
      <c r="M9" t="str">
        <f t="shared" si="1"/>
        <v>Role Desired</v>
      </c>
      <c r="N9" t="b">
        <f t="shared" si="2"/>
        <v>0</v>
      </c>
      <c r="O9" t="b">
        <f t="shared" si="5"/>
        <v>1</v>
      </c>
      <c r="P9" t="str">
        <f t="shared" si="3"/>
        <v>Role Required</v>
      </c>
      <c r="Q9" t="str">
        <f t="shared" si="4"/>
        <v>Salary&gt;85K</v>
      </c>
      <c r="R9" t="str" cm="1">
        <f t="array" ref="R9">_xlfn.IFS($H9="","No Data",$H9&gt;=$Q$1,"Salary&gt;$85K",$H9&lt;$Q$1,"Salary Low")</f>
        <v>Salary&gt;$85K</v>
      </c>
    </row>
    <row r="10" spans="1:18" x14ac:dyDescent="0.3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0"/>
        <v>Not Desired</v>
      </c>
      <c r="M10" t="str">
        <f t="shared" si="1"/>
        <v>Role Desired</v>
      </c>
      <c r="N10" t="b">
        <f t="shared" si="2"/>
        <v>0</v>
      </c>
      <c r="O10" t="b">
        <f t="shared" si="5"/>
        <v>1</v>
      </c>
      <c r="P10" t="str">
        <f t="shared" si="3"/>
        <v>Role Required</v>
      </c>
      <c r="Q10" t="str">
        <f t="shared" si="4"/>
        <v>Salary Low</v>
      </c>
      <c r="R10" t="str" cm="1">
        <f t="array" ref="R10">_xlfn.IFS($H10="","No Data",$H10&gt;=$Q$1,"Salary&gt;$85K",$H10&lt;$Q$1,"Salary Low")</f>
        <v>No Data</v>
      </c>
    </row>
    <row r="11" spans="1:18" x14ac:dyDescent="0.3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0"/>
        <v>Not Desired</v>
      </c>
      <c r="M11" t="str">
        <f t="shared" si="1"/>
        <v>Role Desired</v>
      </c>
      <c r="N11" t="b">
        <f t="shared" si="2"/>
        <v>0</v>
      </c>
      <c r="O11" t="b">
        <f t="shared" si="5"/>
        <v>1</v>
      </c>
      <c r="P11" t="str">
        <f t="shared" si="3"/>
        <v>Role Required</v>
      </c>
      <c r="Q11" t="str">
        <f t="shared" si="4"/>
        <v>Salary&gt;85K</v>
      </c>
      <c r="R11" t="str" cm="1">
        <f t="array" ref="R11">_xlfn.IFS($H11="","No Data",$H11&gt;=$Q$1,"Salary&gt;$85K",$H11&lt;$Q$1,"Salary Low")</f>
        <v>Salary&gt;$85K</v>
      </c>
    </row>
    <row r="12" spans="1:18" x14ac:dyDescent="0.3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5"/>
        <v>0</v>
      </c>
      <c r="P12" t="str">
        <f t="shared" si="3"/>
        <v>Not Required</v>
      </c>
      <c r="Q12" t="str">
        <f t="shared" si="4"/>
        <v>Salary&gt;85K</v>
      </c>
      <c r="R12" t="str" cm="1">
        <f t="array" ref="R12">_xlfn.IFS($H12="","No Data",$H12&gt;=$Q$1,"Salary&gt;$85K",$H12&lt;$Q$1,"Salary Low")</f>
        <v>Salary&gt;$85K</v>
      </c>
    </row>
    <row r="13" spans="1:18" x14ac:dyDescent="0.3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5"/>
        <v>0</v>
      </c>
      <c r="P13" t="str">
        <f t="shared" si="3"/>
        <v>Not Required</v>
      </c>
      <c r="Q13" t="str">
        <f t="shared" si="4"/>
        <v>Salary&gt;85K</v>
      </c>
      <c r="R13" t="str" cm="1">
        <f t="array" ref="R13">_xlfn.IFS($H13="","No Data",$H13&gt;=$Q$1,"Salary&gt;$85K",$H13&lt;$Q$1,"Salary Low")</f>
        <v>Salary&gt;$85K</v>
      </c>
    </row>
    <row r="14" spans="1:18" x14ac:dyDescent="0.3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5"/>
        <v>0</v>
      </c>
      <c r="P14" t="str">
        <f t="shared" si="3"/>
        <v>Not Required</v>
      </c>
      <c r="Q14" t="str">
        <f t="shared" si="4"/>
        <v>Salary&gt;85K</v>
      </c>
      <c r="R14" t="str" cm="1">
        <f t="array" ref="R14">_xlfn.IFS($H14="","No Data",$H14&gt;=$Q$1,"Salary&gt;$85K",$H14&lt;$Q$1,"Salary Low")</f>
        <v>Salary&gt;$85K</v>
      </c>
    </row>
    <row r="15" spans="1:18" x14ac:dyDescent="0.3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5"/>
        <v>0</v>
      </c>
      <c r="P15" t="str">
        <f t="shared" si="3"/>
        <v>Not Required</v>
      </c>
      <c r="Q15" t="str">
        <f t="shared" si="4"/>
        <v>Salary Low</v>
      </c>
      <c r="R15" t="str" cm="1">
        <f t="array" ref="R15">_xlfn.IFS($H15="","No Data",$H15&gt;=$Q$1,"Salary&gt;$85K",$H15&lt;$Q$1,"Salary Low")</f>
        <v>Salary Low</v>
      </c>
    </row>
    <row r="16" spans="1:18" x14ac:dyDescent="0.3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5"/>
        <v>0</v>
      </c>
      <c r="P16" t="str">
        <f t="shared" si="3"/>
        <v>Not Required</v>
      </c>
      <c r="Q16" t="str">
        <f t="shared" si="4"/>
        <v>Salary&gt;85K</v>
      </c>
      <c r="R16" t="str" cm="1">
        <f t="array" ref="R16">_xlfn.IFS($H16="","No Data",$H16&gt;=$Q$1,"Salary&gt;$85K",$H16&lt;$Q$1,"Salary Low")</f>
        <v>Salary&gt;$85K</v>
      </c>
    </row>
    <row r="17" spans="1:18" x14ac:dyDescent="0.3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5"/>
        <v>0</v>
      </c>
      <c r="P17" t="str">
        <f t="shared" si="3"/>
        <v>Not Required</v>
      </c>
      <c r="Q17" t="str">
        <f t="shared" si="4"/>
        <v>Salary&gt;85K</v>
      </c>
      <c r="R17" t="str" cm="1">
        <f t="array" ref="R17">_xlfn.IFS($H17="","No Data",$H17&gt;=$Q$1,"Salary&gt;$85K",$H17&lt;$Q$1,"Salary Low")</f>
        <v>Salary&gt;$85K</v>
      </c>
    </row>
    <row r="18" spans="1:18" x14ac:dyDescent="0.3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0"/>
        <v>Role Desired</v>
      </c>
      <c r="M18" t="str">
        <f t="shared" si="1"/>
        <v>Role Desired</v>
      </c>
      <c r="N18" t="b">
        <f t="shared" si="2"/>
        <v>0</v>
      </c>
      <c r="O18" t="b">
        <f t="shared" si="5"/>
        <v>1</v>
      </c>
      <c r="P18" t="str">
        <f t="shared" si="3"/>
        <v>Role Required</v>
      </c>
      <c r="Q18" t="str">
        <f t="shared" si="4"/>
        <v>Salary Low</v>
      </c>
      <c r="R18" t="str" cm="1">
        <f t="array" ref="R18">_xlfn.IFS($H18="","No Data",$H18&gt;=$Q$1,"Salary&gt;$85K",$H18&lt;$Q$1,"Salary Low")</f>
        <v>No Data</v>
      </c>
    </row>
    <row r="19" spans="1:18" x14ac:dyDescent="0.3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5"/>
        <v>0</v>
      </c>
      <c r="P19" t="str">
        <f t="shared" si="3"/>
        <v>Not Required</v>
      </c>
      <c r="Q19" t="str">
        <f t="shared" si="4"/>
        <v>Salary&gt;85K</v>
      </c>
      <c r="R19" t="str" cm="1">
        <f t="array" ref="R19">_xlfn.IFS($H19="","No Data",$H19&gt;=$Q$1,"Salary&gt;$85K",$H19&lt;$Q$1,"Salary Low")</f>
        <v>Salary&gt;$85K</v>
      </c>
    </row>
    <row r="20" spans="1:18" x14ac:dyDescent="0.3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5"/>
        <v>0</v>
      </c>
      <c r="P20" t="str">
        <f t="shared" si="3"/>
        <v>Not Required</v>
      </c>
      <c r="Q20" t="str">
        <f t="shared" si="4"/>
        <v>Salary Low</v>
      </c>
      <c r="R20" t="str" cm="1">
        <f t="array" ref="R20">_xlfn.IFS($H20="","No Data",$H20&gt;=$Q$1,"Salary&gt;$85K",$H20&lt;$Q$1,"Salary Low")</f>
        <v>No Data</v>
      </c>
    </row>
    <row r="21" spans="1:18" x14ac:dyDescent="0.3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0"/>
        <v>Role Desired</v>
      </c>
      <c r="M21" t="str">
        <f t="shared" si="1"/>
        <v>Role Desired</v>
      </c>
      <c r="N21" t="b">
        <f t="shared" si="2"/>
        <v>0</v>
      </c>
      <c r="O21" t="b">
        <f t="shared" si="5"/>
        <v>1</v>
      </c>
      <c r="P21" t="str">
        <f t="shared" si="3"/>
        <v>Role Required</v>
      </c>
      <c r="Q21" t="str">
        <f t="shared" si="4"/>
        <v>Salary&gt;85K</v>
      </c>
      <c r="R21" t="str" cm="1">
        <f t="array" ref="R21">_xlfn.IFS($H21="","No Data",$H21&gt;=$Q$1,"Salary&gt;$85K",$H21&lt;$Q$1,"Salary Low")</f>
        <v>Salary&gt;$85K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4" x14ac:dyDescent="0.3"/>
  <cols>
    <col min="1" max="1" width="16.88671875" bestFit="1" customWidth="1"/>
    <col min="2" max="2" width="17.4414062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5.88671875" bestFit="1" customWidth="1"/>
    <col min="12" max="12" width="19.109375" bestFit="1" customWidth="1"/>
    <col min="13" max="13" width="14.21875" bestFit="1" customWidth="1"/>
    <col min="14" max="14" width="11.21875" bestFit="1" customWidth="1"/>
    <col min="15" max="15" width="10.109375" bestFit="1" customWidth="1"/>
    <col min="16" max="16" width="14.21875" bestFit="1" customWidth="1"/>
    <col min="17" max="17" width="10.6640625" bestFit="1" customWidth="1"/>
    <col min="18" max="18" width="12.44140625" bestFit="1" customWidth="1"/>
  </cols>
  <sheetData>
    <row r="1" spans="1:18 16384:16384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4" x14ac:dyDescent="0.3"/>
  <cols>
    <col min="1" max="1" width="6.5546875" customWidth="1"/>
    <col min="2" max="2" width="13.44140625" customWidth="1"/>
    <col min="3" max="3" width="31.44140625" bestFit="1" customWidth="1"/>
    <col min="4" max="4" width="60.44140625" bestFit="1" customWidth="1"/>
    <col min="5" max="5" width="19.6640625" bestFit="1" customWidth="1"/>
    <col min="6" max="6" width="17.5546875" bestFit="1" customWidth="1"/>
  </cols>
  <sheetData>
    <row r="2" spans="2:6" x14ac:dyDescent="0.3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3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D3" sqref="D3"/>
    </sheetView>
  </sheetViews>
  <sheetFormatPr defaultRowHeight="14.4" x14ac:dyDescent="0.3"/>
  <cols>
    <col min="2" max="2" width="9.88671875" bestFit="1" customWidth="1"/>
    <col min="3" max="3" width="10.5546875" customWidth="1"/>
  </cols>
  <sheetData>
    <row r="1" spans="2:5" ht="15" thickBot="1" x14ac:dyDescent="0.35"/>
    <row r="2" spans="2:5" x14ac:dyDescent="0.3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3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35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Vidush Aggarwal</cp:lastModifiedBy>
  <dcterms:created xsi:type="dcterms:W3CDTF">2024-07-16T20:11:02Z</dcterms:created>
  <dcterms:modified xsi:type="dcterms:W3CDTF">2026-09-09T10:49:08Z</dcterms:modified>
</cp:coreProperties>
</file>